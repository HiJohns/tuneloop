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报价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<sst xmlns="http://schemas.openxmlformats.org/spreadsheetml/2006/main" count="108" uniqueCount="104">
  <si>
    <t>乐器租赁小程序功能明细</t>
  </si>
  <si>
    <t>报价单位</t>
  </si>
  <si>
    <t>华科诚远（北京）科技有限公司/巨雨田/13011010502</t>
  </si>
  <si>
    <t>功能端口</t>
  </si>
  <si>
    <t>主功能模块</t>
  </si>
  <si>
    <t>子功能模块</t>
  </si>
  <si>
    <t>功能描述说明</t>
  </si>
  <si>
    <t>数量</t>
  </si>
  <si>
    <t>单价</t>
  </si>
  <si>
    <t>单项总计</t>
  </si>
  <si>
    <t>用户端（微信小程序）
详细功能</t>
  </si>
  <si>
    <t>注册 / 登录</t>
  </si>
  <si>
    <t>手机号验证码登录</t>
  </si>
  <si>
    <t>1. 支持微信授权快速获取手机号（需开通微信小程序手机号组件）；
2. 登录状态保持：30 天免登录，过期自动退出；
3. 首次登录自动完成注册，无需额外填写信息。</t>
  </si>
  <si>
    <t>乐器展示</t>
  </si>
  <si>
    <t>乐器分类</t>
  </si>
  <si>
    <t>1. 一级分类：钢琴、吉他、古筝、小提琴等；
2. 二级分类：按品牌（雅马哈、卡马等）、按类型（立式钢琴 / 三角钢琴、木吉他 / 电吉他等）；
3. 分类支持自定义排序，可隐藏 / 显示指定分类。</t>
  </si>
  <si>
    <t>乐器列表</t>
  </si>
  <si>
    <t>1. 展示核心信息：乐器名称、首图、租金（日 / 月）、押金、库存状态；
2. 筛选功能：按租金区间、品牌、租期类型、库存（有货 / 无货）；
3. 排序功能：按租金从低到高 / 从高到低、按人气、按上新时间。</t>
  </si>
  <si>
    <t>乐器详情</t>
  </si>
  <si>
    <t>1. 基础信息：名称、品牌、型号、材质、尺寸、适用人群；
2. 多媒体：多图轮播（支持放大查看）、视频介绍（可选）；
3. 规格 / 租金：
- 不同规格（如钢琴尺寸）对应不同租金 / 押金；
- 明确标注日租 / 周租 / 月租单价（周租 = 日租 ×6，月租 = 日租 ×25 等优惠规则可配置）；
4. 库存：实时显示可租赁数量，无货时标注 “暂无可租”；
5. 配送服务：门店自提和线下闪送；
6. 用户评价：展示租赁 / 使用评价（评分、文字、图片）；</t>
  </si>
  <si>
    <t>租赁功能</t>
  </si>
  <si>
    <t>租赁下单</t>
  </si>
  <si>
    <t>1. 租期选择：日租（1-30 天）、周租（1-4 周）、月租（1-12 月），支持自定义租期天数；
2. 押金规则：
- 按乐器定价的固定比例（如 50%）或固定金额收取；
- 明确标注押金退还条件（无损坏、按时归还）；
3. 租金计算：自动计算总租金 = 租期 × 对应单价，显示优惠（如长租折扣）；
4. 配送方式：
- 上门配送（选择地址，标注配送费 / 免费配送范围）；
- 到店自取（显示门店地址、营业时间）；
5. 订单确认：展示租金、押金、配送费、总金额，确认无误后提交；
6. 支付：支持微信支付，先支付租金 + 押金（全额），支付超时（15 分钟）订单自动取消。</t>
  </si>
  <si>
    <t>续租功能</t>
  </si>
  <si>
    <t>1. 订单未到期时，在 “我的订单” 中发起续租申请；
2. 选择续租时长，系统自动计算续租租金，确认后支付；
3. 续租后，订单到期时间同步更新，押金无需重复支付；
4. 续租申请需管理员审核（或自动通过）。</t>
  </si>
  <si>
    <t>归还申请</t>
  </si>
  <si>
    <t>1. 订单未到期 / 到期后，发起归还申请；
2. 选择归还方式：上门取琴（标注取琴费）、到店归还；
3. 填写归还备注（如乐器状态），提交后等待管理员确认；
4. 管理员确认后，生成归还单，记录归还时间 / 地点。</t>
  </si>
  <si>
    <t>到期提醒</t>
  </si>
  <si>
    <t>1. 订单到期前 3 天、1 天，通过小程序消息提醒用户；
2. 逾期提醒：到期未归还，每逾期 1 天按日租 1.5 倍收取滞纳金，实时推送提醒；
3. 逾期超过 7 天，系统自动触发风控提醒（后台同步提示）。</t>
  </si>
  <si>
    <t>乐器维护 / 维修功能</t>
  </si>
  <si>
    <t>维修 / 保养套餐</t>
  </si>
  <si>
    <t>1. 套餐分类：保养套餐（钢琴调律、吉他换弦等）、维修套餐（故障维修、零件更换等）；
2. 套餐展示：名称、价格、服务内容、时长、适用乐器类型；
3. 自定义报价：无对应套餐时，支持 “自定义维修”（仅填写故障，后续管理员报价）。</t>
  </si>
  <si>
    <t>维修预约</t>
  </si>
  <si>
    <t>1. 选择服务类型：保养 / 维修；
2. 选择乐器类型、具体型号（可选）；
3. 填写故障描述：文字 + 图片 / 视频（最多 5 张图 / 1 个视频）；
4. 选择服务方式：
- 上门取送琴（填写地址，标注取送费）；
- 到店送修（选择门店，填写到店时间）；
5. 选择预约时间：精确到日期 + 时段（如 9:00-12:00），展示可预约时段；
6. 提交预约：生成预约单，等待管理员接单。</t>
  </si>
  <si>
    <t>维修进度查看</t>
  </si>
  <si>
    <t>1. 进度状态：待接单→待取琴→维修中→待报价→待确认→维修完成→待归还；
2. 实时更新：管理员操作后同步至小程序，显示操作时间、操作人员（匿名 / 实名）；
3. 进度备注：管理员可添加维修说明（如 “需更换琴弦，预计 1 天完成”）。</t>
  </si>
  <si>
    <t>报价确认</t>
  </si>
  <si>
    <t>1. 管理员提交报价后，小程序推送报价提醒；
2. 展示报价明细：人工费、零件费、其他费用，总金额；
3. 用户操作：确认报价（进入支付环节）、拒绝报价（填写拒绝理由，取消预约）；
4. 支付：确认报价后支付维修费用（支持微信支付），支付完成后管理员开始维修。</t>
  </si>
  <si>
    <t>订单中心</t>
  </si>
  <si>
    <t>订单分类</t>
  </si>
  <si>
    <t>1. 租赁订单：全部、待支付、待取琴、租赁中、待归还、已完成、已取消；
2. 维修订单：全部、待接单、待取琴、维修中、待报价、待支付、已完成、已取消；
3. 支持按时间筛选（近 7 天 / 近 30 天 / 全部）、按订单号搜索。</t>
  </si>
  <si>
    <t>订单详情</t>
  </si>
  <si>
    <t>1. 基础信息：订单号、下单时间、订单状态；
2. 租赁订单：乐器信息、租期、租金、押金、配送方式、支付金额、支付时间；
3. 维修订单：乐器信息、服务类型、故障描述、报价金额、维修进度、完成时间；
4. 支付信息：支付方式（微信支付）、支付金额、支付时间、交易单号；
5. 退款信息：退款金额、退款原因、退款时间、退款状态（如有）；
6. 操作按钮：根据状态显示（如待支付→去支付、租赁中→续租 / 归还申请）。</t>
  </si>
  <si>
    <t>支付 / 退款</t>
  </si>
  <si>
    <t>1. 支付：待支付订单支持再次支付，支付超时自动取消；
2. 退款：
- 租赁订单：未取琴可申请全额退款（租金 + 押金），取琴后仅退还押金（扣除租金 / 滞纳金）；
- 维修订单：未开始维修可申请全额退款，维修中按已完成工序扣费；
- 退款流程：用户提交申请→管理员审核→审核通过后原路退回（微信支付原路返还，1-3 个工作日）；
- 退款进度：实时显示审核状态、退款到账状态。</t>
  </si>
  <si>
    <t>个人中心</t>
  </si>
  <si>
    <t>个人信息</t>
  </si>
  <si>
    <t>1. 展示头像、昵称、手机号、会员等级；
2. 支持修改头像、昵称。</t>
  </si>
  <si>
    <t>地址管理</t>
  </si>
  <si>
    <t>1. 地址列表：展示收货人、手机号、详细地址、是否默认；
2. 操作：新增、编辑、删除地址，设置默认地址；
3. 地址验证：自动识别省市区，支持搜索地址。</t>
  </si>
  <si>
    <t>押金管理</t>
  </si>
  <si>
    <t>1. 押金明细：展示未退还 / 已退还押金，对应订单号、金额、退还时间；
2. 退还申请：租赁完成且无损坏，可发起押金退还申请（管理员审核后退还）。</t>
  </si>
  <si>
    <t>客服功能</t>
  </si>
  <si>
    <t>1. 在线客服：跳转微信客服（企业微信 / 小程序客服）；
2. 电话客服：展示商家联系电话，支持一键拨打；
3. 常见问题：FAQ 列表（如押金退还规则、维修流程）。</t>
  </si>
  <si>
    <t>公告中心</t>
  </si>
  <si>
    <t>1. 展示商家发布的公告（如活动、维修调价、门店调整）；
2. 公告分类：全部、租赁相关、维修相关、系统通知；
3. 已读 / 未读标记，支持删除已读公告。</t>
  </si>
  <si>
    <t>其他功能</t>
  </si>
  <si>
    <t>1. 我的收藏：收藏乐器、维修套餐；
2. 意见反馈：填写反馈内容 + 图片，提交后管理员可回复；
3. 设置：消息通知开关（订单、公告、提醒）、清理缓存、关于我们。</t>
  </si>
  <si>
    <t>管理后台（PC 端）
详细功能</t>
  </si>
  <si>
    <t>管理员管理</t>
  </si>
  <si>
    <t>管理员登录</t>
  </si>
  <si>
    <t>1. 账号密码登录，支持验证码（图片 / 短信）；
2. 登录日志：记录登录账号、时间、IP、设备，支持异常登录提醒；
3. 密码找回：通过绑定手机号验证码重置。</t>
  </si>
  <si>
    <t>权限管理</t>
  </si>
  <si>
    <t>1. 角色管理：超级管理员、订单管理员、乐器管理员、用户管理员、财务管理员等；
2. 权限分配：按角色分配功能权限（如订单管理员仅可操作订单，不可修改乐器信息）；
3. 账号管理：新增 / 编辑 / 禁用管理员账号，绑定角色，修改密码。</t>
  </si>
  <si>
    <t>乐器管理</t>
  </si>
  <si>
    <t>乐器分类管理</t>
  </si>
  <si>
    <t>1. 新增 / 编辑 / 删除一级 / 二级分类，设置分类名称、排序、是否显示；
2. 分类图标：上传分类图标，展示在小程序分类页。</t>
  </si>
  <si>
    <t>乐器信息管理</t>
  </si>
  <si>
    <t>1. 增删改查：新增乐器（填写基础信息、上传图片 / 视频、设置规格 / 租金 / 押金）、编辑、删除、批量操作；
2. 库存管理：设置可租赁数量，实时更新（租赁后扣减，归还后增加）；
3. 上下架：手动上下架乐器，下架后小程序不展示；
4. 批量操作：批量上下架、批量修改租金 / 押金、批量删除；
5. 导入导出：支持 Excel 导入乐器信息，导出乐器列表。</t>
  </si>
  <si>
    <t>乐器规格管理</t>
  </si>
  <si>
    <t>1. 新增规格：如钢琴尺寸（120cm/125cm）、吉他品牌（雅马哈 / 卡马）；
2. 规格关联：不同规格对应不同租金、押金、库存；
3. 价格规则：设置日租 / 周租 / 月租的计算规则（如周租 = 日租 ×6）。</t>
  </si>
  <si>
    <t>租赁订单管理</t>
  </si>
  <si>
    <t>订单列表</t>
  </si>
  <si>
    <t>1. 展示所有租赁订单，筛选条件：订单号、用户手机号、订单状态、下单时间、乐器类型；
2. 订单信息：订单号、用户信息、乐器信息、租期、金额、支付状态、配送方式、创建时间；
3. 批量操作：批量导出、批量修改状态、批量取消订单。</t>
  </si>
  <si>
    <t>订单操作</t>
  </si>
  <si>
    <t>1. 待支付：取消订单（超时自动取消）、提醒支付；
2. 待取琴：确认取琴（记录取琴时间、取琴人）、修改配送 / 自取信息；
3. 租赁中：处理续租申请（审核通过 / 拒绝）、处理归还申请、设置逾期计费（手动 / 自动）；
4. 待归还：确认归还（记录归还时间、乐器状态、是否损坏）、扣除滞纳金（如有）；
5. 已完成：退还押金（审核通过后发起退款，记录退款金额、时间）；
6. 订单备注：添加订单备注，同步至小程序订单详情。</t>
  </si>
  <si>
    <t>逾期管理</t>
  </si>
  <si>
    <t>1. 逾期订单列表：展示逾期订单、逾期天数、滞纳金金额；
2. 滞纳金计算：按配置规则（如日租 1.5 倍）自动计算，支持手动调整；
3. 催收提醒：手动发送短信 / 小程序消息提醒用户归还。</t>
  </si>
  <si>
    <t>维修订单管理</t>
  </si>
  <si>
    <t>1. 展示所有维修订单，筛选条件：订单号、用户手机号、订单状态、预约时间；
2. 订单信息：订单号、用户信息、乐器信息、服务类型、故障描述、预约时间、报价金额；
3. 批量操作：批量导出、批量接单、批量取消。</t>
  </si>
  <si>
    <t>1. 待接单：接单（分配维修人员）、拒绝接单（填写理由）；
2. 待取琴：确认取琴（记录取琴时间、取琴人）；
3. 维修中：更新维修进度、提交报价（填写明细）；
4. 待报价：用户确认后，标记为待支付；
5. 待支付：提醒支付、取消订单；
6. 维修完成：确认完工（记录完工时间）、安排归还（上门 / 到店）；
7. 订单备注：添加维修说明，同步至小程序。</t>
  </si>
  <si>
    <t>维修套餐管理</t>
  </si>
  <si>
    <t>1. 新增 / 编辑 / 删除维修 / 保养套餐，设置套餐名称、价格、服务内容、适用乐器；
2. 套餐上下架：下架后小程序不展示；
3. 报价模板：预设常见故障的报价模板，快速生成报价。</t>
  </si>
  <si>
    <t>用户管理</t>
  </si>
  <si>
    <t>用户列表</t>
  </si>
  <si>
    <t>1. 展示所有用户，筛选条件：手机号、注册时间、会员等级（可选）；
2. 用户信息：头像、昵称、手机号、注册时间、订单数、未退还押金；
3. 操作：查看用户详情（订单、地址、押金）、禁用用户（禁用后无法登录）、发送消息。</t>
  </si>
  <si>
    <t>查看用户保存的地址，支持手动修改 / 删除（仅管理员）。</t>
  </si>
  <si>
    <t>会员管理</t>
  </si>
  <si>
    <t>1. 会员等级：普通、VIP、超级 VIP，设置等级权益（押金减免、租金折扣）；
2. 会员充值：支持用户充值（可选），记录充值明细。</t>
  </si>
  <si>
    <t>财务 &amp; 数据管理</t>
  </si>
  <si>
    <t>1. 押金列表：展示未退还 / 已退还押金，关联订单、用户、金额；
2. 退款操作：审核用户押金退还申请，发起退款（对接微信支付退款接口）；
3. 退款记录：记录退款金额、时间、状态、交易单号。</t>
  </si>
  <si>
    <t>订单导出</t>
  </si>
  <si>
    <t>1. 支持按时间、订单类型、状态导出订单（Excel 格式）；
2. 导出字段：订单号、用户信息、金额、支付时间、状态等（可自定义）。</t>
  </si>
  <si>
    <t>数据统计</t>
  </si>
  <si>
    <t>1. 经营概览：今日 / 昨日 / 本月订单数、交易额（租金 + 维修费）、押金总额、退款金额；
2. 租赁统计：按乐器类型、租期、时间段统计租赁订单数 / 金额；
3. 维修统计：按服务类型、乐器类型、时间段统计维修订单数 / 金额；
4. 用户统计：新增用户数、活跃用户数、复购率；</t>
  </si>
  <si>
    <t>系统配置</t>
  </si>
  <si>
    <t>首页配置</t>
  </si>
  <si>
    <t>1. 轮播图：上传轮播图片，设置跳转链接（乐器详情 / 活动页）、排序、是否显示；
2. 推荐乐器：手动设置首页推荐的乐器，排序。</t>
  </si>
  <si>
    <t>公告管理</t>
  </si>
  <si>
    <t>1. 新增 / 编辑 / 删除公告，设置标题、内容、分类、发布时间、是否置顶；
2. 公告推送：发布后自动推送至小程序公告中心。</t>
  </si>
  <si>
    <t>基础设置</t>
  </si>
  <si>
    <t>1. 支付设置：配置微信支付商户号、密钥，设置支付超时时间；
2. 费用设置：配置配送费、取琴费、滞纳金规则、押金规则；
3. 消息设置：配置小程序消息、短信的推送模板（如到期提醒、订单通知）；
4. 门店管理：新增 / 编辑门店地址、营业时间、联系电话，展示在小程序。</t>
  </si>
  <si>
    <t>含税（6%）价格总计（元）：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</si>
</sst>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_);[Red]\(&quot;￥&quot;#,##0\)"/>
  </numFmts>
  <fonts count="29">
    <font>
      <sz val="12"/>
      <name val="宋体"/>
      <charset val="134"/>
    </font>
    <font>
      <sz val="11"/>
      <name val="微软雅黑"/>
      <charset val="134"/>
    </font>
    <font>
      <sz val="11"/>
      <name val="楷体"/>
      <charset val="134"/>
    </font>
    <font>
      <sz val="14"/>
      <name val="微软雅黑"/>
      <charset val="134"/>
    </font>
    <font>
      <sz val="12"/>
      <name val="微软雅黑"/>
      <charset val="134"/>
    </font>
    <font>
      <sz val="11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  <font>
      <sz val="11"/>
      <color indexed="8"/>
      <name val="宋体"/>
      <charset val="134"/>
    </font>
    <font>
      <sz val="12"/>
      <color indexed="8"/>
      <name val="Verdana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  <xf numFmtId="0" fontId="26" fillId="0" borderId="0"/>
    <xf numFmtId="0" fontId="27" fillId="0" borderId="0">
      <alignment vertical="center"/>
    </xf>
    <xf numFmtId="0" fontId="28" fillId="0" borderId="0"/>
    <xf numFmtId="43" fontId="0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49" applyFont="1" applyFill="1" applyBorder="1" applyAlignment="1">
      <alignment horizontal="center" vertical="center" wrapText="1"/>
    </xf>
    <xf numFmtId="38" fontId="5" fillId="2" borderId="1" xfId="49" applyNumberFormat="1" applyFont="1" applyFill="1" applyBorder="1" applyAlignment="1">
      <alignment horizontal="center" vertical="center" wrapText="1"/>
    </xf>
    <xf numFmtId="176" fontId="5" fillId="2" borderId="1" xfId="49" applyNumberFormat="1" applyFont="1" applyFill="1" applyBorder="1" applyAlignment="1">
      <alignment horizontal="center" vertical="center" wrapText="1"/>
    </xf>
    <xf numFmtId="0" fontId="1" fillId="0" borderId="2" xfId="49" applyFont="1" applyBorder="1" applyAlignment="1">
      <alignment horizontal="center" vertical="center" wrapText="1"/>
    </xf>
    <xf numFmtId="0" fontId="1" fillId="0" borderId="2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left" vertical="center" wrapText="1"/>
    </xf>
    <xf numFmtId="38" fontId="1" fillId="0" borderId="2" xfId="49" applyNumberFormat="1" applyFont="1" applyBorder="1" applyAlignment="1">
      <alignment horizontal="center" vertical="center" wrapText="1"/>
    </xf>
    <xf numFmtId="176" fontId="1" fillId="0" borderId="2" xfId="49" applyNumberFormat="1" applyFont="1" applyBorder="1" applyAlignment="1">
      <alignment horizontal="center" vertical="center" wrapText="1"/>
    </xf>
    <xf numFmtId="0" fontId="1" fillId="0" borderId="3" xfId="49" applyFont="1" applyBorder="1" applyAlignment="1">
      <alignment horizontal="center" vertical="center" wrapText="1"/>
    </xf>
    <xf numFmtId="0" fontId="1" fillId="0" borderId="4" xfId="49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right" vertical="center"/>
    </xf>
    <xf numFmtId="0" fontId="1" fillId="4" borderId="6" xfId="0" applyFont="1" applyFill="1" applyBorder="1" applyAlignment="1">
      <alignment horizontal="right" vertical="center"/>
    </xf>
    <xf numFmtId="0" fontId="1" fillId="4" borderId="6" xfId="0" applyFont="1" applyFill="1" applyBorder="1" applyAlignment="1">
      <alignment horizontal="left" vertical="center"/>
    </xf>
    <xf numFmtId="176" fontId="1" fillId="4" borderId="7" xfId="0" applyNumberFormat="1" applyFont="1" applyFill="1" applyBorder="1" applyAlignment="1">
      <alignment horizontal="right" vertical="center"/>
    </xf>
    <xf numFmtId="176" fontId="1" fillId="4" borderId="1" xfId="0" applyNumberFormat="1" applyFont="1" applyFill="1" applyBorder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a__x000a_NA_x000a__x000a_" xfId="49"/>
    <cellStyle name="常规 18 2" xfId="50"/>
    <cellStyle name="常规 2" xfId="51"/>
    <cellStyle name="常规 6" xfId="52"/>
    <cellStyle name="千位分隔 2" xfId="5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8DB4E2"/>
      <color rgb="000070C0"/>
      <color rgb="00BDD7EE"/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45"/>
  <sheetViews>
    <sheetView tabSelected="1" workbookViewId="0">
      <selection activeCell="D4" sqref="D4"/>
    </sheetView>
  </sheetViews>
  <sheetFormatPr defaultColWidth="9" defaultRowHeight="39.95" customHeight="1" outlineLevelCol="6"/>
  <cols>
    <col min="1" max="3" width="20.5" style="3" customWidth="1"/>
    <col min="4" max="4" width="92.125" style="4" customWidth="1"/>
    <col min="5" max="5" width="15.625" style="3" customWidth="1"/>
    <col min="6" max="7" width="15.625" style="5" customWidth="1"/>
    <col min="8" max="8" width="17.5" style="3" customWidth="1"/>
    <col min="9" max="9" width="16.375" style="3" customWidth="1"/>
    <col min="10" max="10" width="18.625" style="3" customWidth="1"/>
    <col min="11" max="16384" width="9" style="3"/>
  </cols>
  <sheetData>
    <row r="1" ht="48" customHeight="1" spans="1:7">
      <c r="A1" s="6" t="s">
        <v>0</v>
      </c>
      <c r="B1" s="6"/>
      <c r="C1" s="6"/>
      <c r="D1" s="6"/>
      <c r="E1" s="6"/>
      <c r="F1" s="6"/>
      <c r="G1" s="6"/>
    </row>
    <row r="2" customHeight="1" spans="1:7">
      <c r="A2" s="7" t="s">
        <v>1</v>
      </c>
      <c r="B2" s="7"/>
      <c r="C2" s="7"/>
      <c r="D2" s="7" t="s">
        <v>2</v>
      </c>
      <c r="E2" s="7"/>
      <c r="F2" s="7"/>
      <c r="G2" s="7"/>
    </row>
    <row r="3" s="1" customFormat="1" customHeight="1" spans="1:7">
      <c r="A3" s="8" t="s">
        <v>3</v>
      </c>
      <c r="B3" s="8" t="s">
        <v>4</v>
      </c>
      <c r="C3" s="8" t="s">
        <v>5</v>
      </c>
      <c r="D3" s="8" t="s">
        <v>6</v>
      </c>
      <c r="E3" s="9" t="s">
        <v>7</v>
      </c>
      <c r="F3" s="10" t="s">
        <v>8</v>
      </c>
      <c r="G3" s="10" t="s">
        <v>9</v>
      </c>
    </row>
    <row r="4" s="1" customFormat="1" ht="49.5" spans="1:7">
      <c r="A4" s="11" t="s">
        <v>10</v>
      </c>
      <c r="B4" s="12" t="s">
        <v>11</v>
      </c>
      <c r="C4" s="13" t="s">
        <v>12</v>
      </c>
      <c r="D4" s="14" t="s">
        <v>13</v>
      </c>
      <c r="E4" s="15">
        <v>1</v>
      </c>
      <c r="F4" s="16">
        <v>0</v>
      </c>
      <c r="G4" s="16">
        <f t="shared" ref="G4:G14" si="0">E4*F4</f>
        <v>0</v>
      </c>
    </row>
    <row r="5" s="1" customFormat="1" ht="49.5" spans="1:7">
      <c r="A5" s="17"/>
      <c r="B5" s="11" t="s">
        <v>14</v>
      </c>
      <c r="C5" s="13" t="s">
        <v>15</v>
      </c>
      <c r="D5" s="14" t="s">
        <v>16</v>
      </c>
      <c r="E5" s="15">
        <v>1</v>
      </c>
      <c r="F5" s="16">
        <v>0</v>
      </c>
      <c r="G5" s="16">
        <f t="shared" si="0"/>
        <v>0</v>
      </c>
    </row>
    <row r="6" s="1" customFormat="1" ht="49.5" spans="1:7">
      <c r="A6" s="17"/>
      <c r="B6" s="17"/>
      <c r="C6" s="13" t="s">
        <v>17</v>
      </c>
      <c r="D6" s="14" t="s">
        <v>18</v>
      </c>
      <c r="E6" s="15">
        <v>1</v>
      </c>
      <c r="F6" s="16">
        <v>0</v>
      </c>
      <c r="G6" s="16">
        <f t="shared" si="0"/>
        <v>0</v>
      </c>
    </row>
    <row r="7" s="1" customFormat="1" ht="132" spans="1:7">
      <c r="A7" s="17"/>
      <c r="B7" s="17"/>
      <c r="C7" s="13" t="s">
        <v>19</v>
      </c>
      <c r="D7" s="14" t="s">
        <v>20</v>
      </c>
      <c r="E7" s="15">
        <v>1</v>
      </c>
      <c r="F7" s="16">
        <v>0</v>
      </c>
      <c r="G7" s="16">
        <f t="shared" si="0"/>
        <v>0</v>
      </c>
    </row>
    <row r="8" s="1" customFormat="1" ht="165" spans="1:7">
      <c r="A8" s="17"/>
      <c r="B8" s="11" t="s">
        <v>21</v>
      </c>
      <c r="C8" s="13" t="s">
        <v>22</v>
      </c>
      <c r="D8" s="14" t="s">
        <v>23</v>
      </c>
      <c r="E8" s="15">
        <v>1</v>
      </c>
      <c r="F8" s="16">
        <v>0</v>
      </c>
      <c r="G8" s="16">
        <f t="shared" si="0"/>
        <v>0</v>
      </c>
    </row>
    <row r="9" s="1" customFormat="1" ht="66" spans="1:7">
      <c r="A9" s="17"/>
      <c r="B9" s="17"/>
      <c r="C9" s="13" t="s">
        <v>24</v>
      </c>
      <c r="D9" s="14" t="s">
        <v>25</v>
      </c>
      <c r="E9" s="15">
        <v>1</v>
      </c>
      <c r="F9" s="16">
        <v>0</v>
      </c>
      <c r="G9" s="16">
        <f t="shared" si="0"/>
        <v>0</v>
      </c>
    </row>
    <row r="10" s="1" customFormat="1" ht="66" spans="1:7">
      <c r="A10" s="17"/>
      <c r="B10" s="17"/>
      <c r="C10" s="13" t="s">
        <v>26</v>
      </c>
      <c r="D10" s="14" t="s">
        <v>27</v>
      </c>
      <c r="E10" s="15">
        <v>1</v>
      </c>
      <c r="F10" s="16">
        <v>0</v>
      </c>
      <c r="G10" s="16">
        <f t="shared" si="0"/>
        <v>0</v>
      </c>
    </row>
    <row r="11" s="1" customFormat="1" ht="49.5" spans="1:7">
      <c r="A11" s="17"/>
      <c r="B11" s="17"/>
      <c r="C11" s="13" t="s">
        <v>28</v>
      </c>
      <c r="D11" s="14" t="s">
        <v>29</v>
      </c>
      <c r="E11" s="15">
        <v>1</v>
      </c>
      <c r="F11" s="16">
        <v>0</v>
      </c>
      <c r="G11" s="16">
        <f t="shared" si="0"/>
        <v>0</v>
      </c>
    </row>
    <row r="12" s="1" customFormat="1" ht="49.5" spans="1:7">
      <c r="A12" s="17"/>
      <c r="B12" s="11" t="s">
        <v>30</v>
      </c>
      <c r="C12" s="13" t="s">
        <v>31</v>
      </c>
      <c r="D12" s="14" t="s">
        <v>32</v>
      </c>
      <c r="E12" s="15">
        <v>1</v>
      </c>
      <c r="F12" s="16">
        <v>0</v>
      </c>
      <c r="G12" s="16">
        <f t="shared" si="0"/>
        <v>0</v>
      </c>
    </row>
    <row r="13" s="1" customFormat="1" ht="132" spans="1:7">
      <c r="A13" s="17"/>
      <c r="B13" s="17"/>
      <c r="C13" s="13" t="s">
        <v>33</v>
      </c>
      <c r="D13" s="14" t="s">
        <v>34</v>
      </c>
      <c r="E13" s="15">
        <v>1</v>
      </c>
      <c r="F13" s="16">
        <v>0</v>
      </c>
      <c r="G13" s="16">
        <f t="shared" si="0"/>
        <v>0</v>
      </c>
    </row>
    <row r="14" s="1" customFormat="1" ht="49.5" spans="1:7">
      <c r="A14" s="17"/>
      <c r="B14" s="17"/>
      <c r="C14" s="13" t="s">
        <v>35</v>
      </c>
      <c r="D14" s="14" t="s">
        <v>36</v>
      </c>
      <c r="E14" s="15">
        <v>1</v>
      </c>
      <c r="F14" s="16">
        <v>0</v>
      </c>
      <c r="G14" s="16">
        <f>E14*F14</f>
        <v>0</v>
      </c>
    </row>
    <row r="15" s="1" customFormat="1" ht="66" spans="1:7">
      <c r="A15" s="17"/>
      <c r="B15" s="18"/>
      <c r="C15" s="19" t="s">
        <v>37</v>
      </c>
      <c r="D15" s="20" t="s">
        <v>38</v>
      </c>
      <c r="E15" s="15">
        <v>1</v>
      </c>
      <c r="F15" s="16">
        <v>0</v>
      </c>
      <c r="G15" s="16">
        <f>E15*F15</f>
        <v>0</v>
      </c>
    </row>
    <row r="16" s="1" customFormat="1" ht="49.5" spans="1:7">
      <c r="A16" s="17"/>
      <c r="B16" s="21" t="s">
        <v>39</v>
      </c>
      <c r="C16" s="19" t="s">
        <v>40</v>
      </c>
      <c r="D16" s="20" t="s">
        <v>41</v>
      </c>
      <c r="E16" s="15">
        <v>1</v>
      </c>
      <c r="F16" s="16">
        <v>0</v>
      </c>
      <c r="G16" s="16">
        <f>E16*F16</f>
        <v>0</v>
      </c>
    </row>
    <row r="17" s="1" customFormat="1" ht="99" spans="1:7">
      <c r="A17" s="17"/>
      <c r="B17" s="22"/>
      <c r="C17" s="19" t="s">
        <v>42</v>
      </c>
      <c r="D17" s="20" t="s">
        <v>43</v>
      </c>
      <c r="E17" s="15">
        <v>1</v>
      </c>
      <c r="F17" s="16">
        <v>0</v>
      </c>
      <c r="G17" s="16">
        <f>E17*F17</f>
        <v>0</v>
      </c>
    </row>
    <row r="18" s="1" customFormat="1" ht="99" spans="1:7">
      <c r="A18" s="17"/>
      <c r="B18" s="22"/>
      <c r="C18" s="19" t="s">
        <v>44</v>
      </c>
      <c r="D18" s="20" t="s">
        <v>45</v>
      </c>
      <c r="E18" s="15">
        <v>1</v>
      </c>
      <c r="F18" s="16">
        <v>0</v>
      </c>
      <c r="G18" s="16">
        <f t="shared" ref="G18:G44" si="1">E18*F18</f>
        <v>0</v>
      </c>
    </row>
    <row r="19" s="1" customFormat="1" ht="33" spans="1:7">
      <c r="A19" s="17"/>
      <c r="B19" s="21" t="s">
        <v>46</v>
      </c>
      <c r="C19" s="19" t="s">
        <v>47</v>
      </c>
      <c r="D19" s="20" t="s">
        <v>48</v>
      </c>
      <c r="E19" s="15">
        <v>1</v>
      </c>
      <c r="F19" s="16">
        <v>0</v>
      </c>
      <c r="G19" s="16">
        <f t="shared" si="1"/>
        <v>0</v>
      </c>
    </row>
    <row r="20" s="1" customFormat="1" ht="49.5" spans="1:7">
      <c r="A20" s="17"/>
      <c r="B20" s="22"/>
      <c r="C20" s="19" t="s">
        <v>49</v>
      </c>
      <c r="D20" s="20" t="s">
        <v>50</v>
      </c>
      <c r="E20" s="15">
        <v>1</v>
      </c>
      <c r="F20" s="16">
        <v>0</v>
      </c>
      <c r="G20" s="16">
        <f t="shared" si="1"/>
        <v>0</v>
      </c>
    </row>
    <row r="21" s="1" customFormat="1" ht="33" spans="1:7">
      <c r="A21" s="17"/>
      <c r="B21" s="22"/>
      <c r="C21" s="19" t="s">
        <v>51</v>
      </c>
      <c r="D21" s="20" t="s">
        <v>52</v>
      </c>
      <c r="E21" s="15">
        <v>1</v>
      </c>
      <c r="F21" s="16">
        <v>0</v>
      </c>
      <c r="G21" s="16">
        <f t="shared" si="1"/>
        <v>0</v>
      </c>
    </row>
    <row r="22" s="1" customFormat="1" ht="49.5" spans="1:7">
      <c r="A22" s="17"/>
      <c r="B22" s="22"/>
      <c r="C22" s="19" t="s">
        <v>53</v>
      </c>
      <c r="D22" s="20" t="s">
        <v>54</v>
      </c>
      <c r="E22" s="15">
        <v>1</v>
      </c>
      <c r="F22" s="16">
        <v>0</v>
      </c>
      <c r="G22" s="16">
        <f t="shared" si="1"/>
        <v>0</v>
      </c>
    </row>
    <row r="23" s="1" customFormat="1" ht="49.5" spans="1:7">
      <c r="A23" s="17"/>
      <c r="B23" s="22"/>
      <c r="C23" s="19" t="s">
        <v>55</v>
      </c>
      <c r="D23" s="20" t="s">
        <v>56</v>
      </c>
      <c r="E23" s="15">
        <v>1</v>
      </c>
      <c r="F23" s="16">
        <v>0</v>
      </c>
      <c r="G23" s="16">
        <f t="shared" si="1"/>
        <v>0</v>
      </c>
    </row>
    <row r="24" s="1" customFormat="1" ht="49.5" spans="1:7">
      <c r="A24" s="17"/>
      <c r="B24" s="22"/>
      <c r="C24" s="19" t="s">
        <v>57</v>
      </c>
      <c r="D24" s="20" t="s">
        <v>58</v>
      </c>
      <c r="E24" s="15">
        <v>1</v>
      </c>
      <c r="F24" s="16">
        <v>0</v>
      </c>
      <c r="G24" s="16">
        <f t="shared" si="1"/>
        <v>0</v>
      </c>
    </row>
    <row r="25" s="1" customFormat="1" ht="49.5" spans="1:7">
      <c r="A25" s="23" t="s">
        <v>59</v>
      </c>
      <c r="B25" s="21" t="s">
        <v>60</v>
      </c>
      <c r="C25" s="19" t="s">
        <v>61</v>
      </c>
      <c r="D25" s="20" t="s">
        <v>62</v>
      </c>
      <c r="E25" s="15">
        <v>1</v>
      </c>
      <c r="F25" s="16">
        <v>0</v>
      </c>
      <c r="G25" s="16">
        <f t="shared" si="1"/>
        <v>0</v>
      </c>
    </row>
    <row r="26" s="1" customFormat="1" ht="49.5" spans="1:7">
      <c r="A26" s="24"/>
      <c r="B26" s="22"/>
      <c r="C26" s="19" t="s">
        <v>63</v>
      </c>
      <c r="D26" s="25" t="s">
        <v>64</v>
      </c>
      <c r="E26" s="15">
        <v>1</v>
      </c>
      <c r="F26" s="16">
        <v>0</v>
      </c>
      <c r="G26" s="16">
        <f t="shared" si="1"/>
        <v>0</v>
      </c>
    </row>
    <row r="27" s="1" customFormat="1" ht="33" spans="1:7">
      <c r="A27" s="24"/>
      <c r="B27" s="21" t="s">
        <v>65</v>
      </c>
      <c r="C27" s="19" t="s">
        <v>66</v>
      </c>
      <c r="D27" s="25" t="s">
        <v>67</v>
      </c>
      <c r="E27" s="15">
        <v>1</v>
      </c>
      <c r="F27" s="16">
        <v>0</v>
      </c>
      <c r="G27" s="16">
        <f t="shared" si="1"/>
        <v>0</v>
      </c>
    </row>
    <row r="28" s="1" customFormat="1" ht="99" spans="1:7">
      <c r="A28" s="24"/>
      <c r="B28" s="22"/>
      <c r="C28" s="19" t="s">
        <v>68</v>
      </c>
      <c r="D28" s="25" t="s">
        <v>69</v>
      </c>
      <c r="E28" s="15">
        <v>1</v>
      </c>
      <c r="F28" s="16">
        <v>0</v>
      </c>
      <c r="G28" s="16">
        <f t="shared" si="1"/>
        <v>0</v>
      </c>
    </row>
    <row r="29" s="1" customFormat="1" ht="49.5" spans="1:7">
      <c r="A29" s="24"/>
      <c r="B29" s="22"/>
      <c r="C29" s="19" t="s">
        <v>70</v>
      </c>
      <c r="D29" s="25" t="s">
        <v>71</v>
      </c>
      <c r="E29" s="15">
        <v>1</v>
      </c>
      <c r="F29" s="16">
        <v>0</v>
      </c>
      <c r="G29" s="16">
        <f t="shared" si="1"/>
        <v>0</v>
      </c>
    </row>
    <row r="30" s="1" customFormat="1" ht="49.5" spans="1:7">
      <c r="A30" s="24"/>
      <c r="B30" s="21" t="s">
        <v>72</v>
      </c>
      <c r="C30" s="19" t="s">
        <v>73</v>
      </c>
      <c r="D30" s="25" t="s">
        <v>74</v>
      </c>
      <c r="E30" s="15">
        <v>1</v>
      </c>
      <c r="F30" s="16">
        <v>0</v>
      </c>
      <c r="G30" s="16">
        <f t="shared" si="1"/>
        <v>0</v>
      </c>
    </row>
    <row r="31" s="1" customFormat="1" ht="99" spans="1:7">
      <c r="A31" s="24"/>
      <c r="B31" s="22"/>
      <c r="C31" s="19" t="s">
        <v>75</v>
      </c>
      <c r="D31" s="25" t="s">
        <v>76</v>
      </c>
      <c r="E31" s="15">
        <v>1</v>
      </c>
      <c r="F31" s="16">
        <v>0</v>
      </c>
      <c r="G31" s="16">
        <f t="shared" si="1"/>
        <v>0</v>
      </c>
    </row>
    <row r="32" s="1" customFormat="1" ht="49.5" spans="1:7">
      <c r="A32" s="24"/>
      <c r="B32" s="22"/>
      <c r="C32" s="19" t="s">
        <v>77</v>
      </c>
      <c r="D32" s="25" t="s">
        <v>78</v>
      </c>
      <c r="E32" s="15">
        <v>1</v>
      </c>
      <c r="F32" s="16">
        <v>0</v>
      </c>
      <c r="G32" s="16">
        <f t="shared" si="1"/>
        <v>0</v>
      </c>
    </row>
    <row r="33" s="1" customFormat="1" ht="49.5" spans="1:7">
      <c r="A33" s="24"/>
      <c r="B33" s="21" t="s">
        <v>79</v>
      </c>
      <c r="C33" s="19" t="s">
        <v>73</v>
      </c>
      <c r="D33" s="25" t="s">
        <v>80</v>
      </c>
      <c r="E33" s="15">
        <v>1</v>
      </c>
      <c r="F33" s="16">
        <v>0</v>
      </c>
      <c r="G33" s="16">
        <f t="shared" si="1"/>
        <v>0</v>
      </c>
    </row>
    <row r="34" s="1" customFormat="1" ht="115.5" spans="1:7">
      <c r="A34" s="24"/>
      <c r="B34" s="22"/>
      <c r="C34" s="19" t="s">
        <v>75</v>
      </c>
      <c r="D34" s="25" t="s">
        <v>81</v>
      </c>
      <c r="E34" s="15">
        <v>1</v>
      </c>
      <c r="F34" s="16">
        <v>0</v>
      </c>
      <c r="G34" s="16">
        <f t="shared" si="1"/>
        <v>0</v>
      </c>
    </row>
    <row r="35" s="1" customFormat="1" ht="49.5" spans="1:7">
      <c r="A35" s="24"/>
      <c r="B35" s="22"/>
      <c r="C35" s="19" t="s">
        <v>82</v>
      </c>
      <c r="D35" s="25" t="s">
        <v>83</v>
      </c>
      <c r="E35" s="15">
        <v>1</v>
      </c>
      <c r="F35" s="16">
        <v>0</v>
      </c>
      <c r="G35" s="16">
        <f t="shared" si="1"/>
        <v>0</v>
      </c>
    </row>
    <row r="36" s="1" customFormat="1" ht="49.5" spans="1:7">
      <c r="A36" s="24"/>
      <c r="B36" s="21" t="s">
        <v>84</v>
      </c>
      <c r="C36" s="19" t="s">
        <v>85</v>
      </c>
      <c r="D36" s="25" t="s">
        <v>86</v>
      </c>
      <c r="E36" s="15">
        <v>1</v>
      </c>
      <c r="F36" s="16">
        <v>0</v>
      </c>
      <c r="G36" s="16">
        <f t="shared" si="1"/>
        <v>0</v>
      </c>
    </row>
    <row r="37" s="1" customFormat="1" ht="16.5" spans="1:7">
      <c r="A37" s="24"/>
      <c r="B37" s="22"/>
      <c r="C37" s="19" t="s">
        <v>49</v>
      </c>
      <c r="D37" s="25" t="s">
        <v>87</v>
      </c>
      <c r="E37" s="15">
        <v>1</v>
      </c>
      <c r="F37" s="16">
        <v>0</v>
      </c>
      <c r="G37" s="16">
        <f t="shared" si="1"/>
        <v>0</v>
      </c>
    </row>
    <row r="38" s="1" customFormat="1" ht="33" spans="1:7">
      <c r="A38" s="24"/>
      <c r="B38" s="22"/>
      <c r="C38" s="19" t="s">
        <v>88</v>
      </c>
      <c r="D38" s="25" t="s">
        <v>89</v>
      </c>
      <c r="E38" s="15">
        <v>1</v>
      </c>
      <c r="F38" s="16">
        <v>0</v>
      </c>
      <c r="G38" s="16">
        <f t="shared" si="1"/>
        <v>0</v>
      </c>
    </row>
    <row r="39" s="1" customFormat="1" ht="49.5" spans="1:7">
      <c r="A39" s="24"/>
      <c r="B39" s="21" t="s">
        <v>90</v>
      </c>
      <c r="C39" s="19" t="s">
        <v>51</v>
      </c>
      <c r="D39" s="25" t="s">
        <v>91</v>
      </c>
      <c r="E39" s="15">
        <v>1</v>
      </c>
      <c r="F39" s="16">
        <v>0</v>
      </c>
      <c r="G39" s="16">
        <f t="shared" si="1"/>
        <v>0</v>
      </c>
    </row>
    <row r="40" s="1" customFormat="1" ht="33" spans="1:7">
      <c r="A40" s="24"/>
      <c r="B40" s="22"/>
      <c r="C40" s="19" t="s">
        <v>92</v>
      </c>
      <c r="D40" s="25" t="s">
        <v>93</v>
      </c>
      <c r="E40" s="15">
        <v>1</v>
      </c>
      <c r="F40" s="16">
        <v>0</v>
      </c>
      <c r="G40" s="16">
        <f t="shared" si="1"/>
        <v>0</v>
      </c>
    </row>
    <row r="41" s="1" customFormat="1" ht="66" spans="1:7">
      <c r="A41" s="24"/>
      <c r="B41" s="22"/>
      <c r="C41" s="19" t="s">
        <v>94</v>
      </c>
      <c r="D41" s="25" t="s">
        <v>95</v>
      </c>
      <c r="E41" s="15">
        <v>1</v>
      </c>
      <c r="F41" s="16">
        <v>0</v>
      </c>
      <c r="G41" s="16">
        <f t="shared" si="1"/>
        <v>0</v>
      </c>
    </row>
    <row r="42" s="1" customFormat="1" ht="33" spans="1:7">
      <c r="A42" s="24"/>
      <c r="B42" s="21" t="s">
        <v>96</v>
      </c>
      <c r="C42" s="19" t="s">
        <v>97</v>
      </c>
      <c r="D42" s="25" t="s">
        <v>98</v>
      </c>
      <c r="E42" s="15">
        <v>1</v>
      </c>
      <c r="F42" s="16">
        <v>0</v>
      </c>
      <c r="G42" s="16">
        <f t="shared" si="1"/>
        <v>0</v>
      </c>
    </row>
    <row r="43" s="1" customFormat="1" ht="33" spans="1:7">
      <c r="A43" s="24"/>
      <c r="B43" s="22"/>
      <c r="C43" s="19" t="s">
        <v>99</v>
      </c>
      <c r="D43" s="25" t="s">
        <v>100</v>
      </c>
      <c r="E43" s="15">
        <v>1</v>
      </c>
      <c r="F43" s="16">
        <v>0</v>
      </c>
      <c r="G43" s="16">
        <f t="shared" si="1"/>
        <v>0</v>
      </c>
    </row>
    <row r="44" s="1" customFormat="1" ht="66" spans="1:7">
      <c r="A44" s="24"/>
      <c r="B44" s="22"/>
      <c r="C44" s="19" t="s">
        <v>101</v>
      </c>
      <c r="D44" s="25" t="s">
        <v>102</v>
      </c>
      <c r="E44" s="15">
        <v>1</v>
      </c>
      <c r="F44" s="16">
        <v>0</v>
      </c>
      <c r="G44" s="16">
        <f t="shared" si="1"/>
        <v>0</v>
      </c>
    </row>
    <row r="45" s="2" customFormat="1" customHeight="1" spans="1:7">
      <c r="A45" s="26" t="s">
        <v>103</v>
      </c>
      <c r="B45" s="27"/>
      <c r="C45" s="27"/>
      <c r="D45" s="28"/>
      <c r="E45" s="27"/>
      <c r="F45" s="29"/>
      <c r="G45" s="30">
        <f>SUM(G4:G44)</f>
        <v>0</v>
      </c>
    </row>
  </sheetData>
  <mergeCells count="18">
    <mergeCell ref="A1:G1"/>
    <mergeCell ref="A2:C2"/>
    <mergeCell ref="D2:G2"/>
    <mergeCell ref="A45:F45"/>
    <mergeCell ref="A4:A24"/>
    <mergeCell ref="A25:A44"/>
    <mergeCell ref="B5:B7"/>
    <mergeCell ref="B8:B11"/>
    <mergeCell ref="B12:B15"/>
    <mergeCell ref="B16:B18"/>
    <mergeCell ref="B19:B24"/>
    <mergeCell ref="B25:B26"/>
    <mergeCell ref="B27:B29"/>
    <mergeCell ref="B30:B32"/>
    <mergeCell ref="B33:B35"/>
    <mergeCell ref="B36:B38"/>
    <mergeCell ref="B39:B41"/>
    <mergeCell ref="B42:B44"/>
  </mergeCells>
  <pageMargins left="0.75" right="0.75" top="1" bottom="1" header="0.51" footer="0.51"/>
  <pageSetup paperSize="9" scale="72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巨总</cp:lastModifiedBy>
  <cp:revision>1</cp:revision>
  <dcterms:created xsi:type="dcterms:W3CDTF">2014-05-14T21:00:00Z</dcterms:created>
  <cp:lastPrinted>2014-12-16T05:19:00Z</cp:lastPrinted>
  <dcterms:modified xsi:type="dcterms:W3CDTF">2026-03-11T10:22:27Z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EB3A3291C1C94523AB11AD983E52EDF9_11</vt:lpwstr>
  </property>
  <property fmtid="{D5CDD505-2E9C-101B-9397-08002B2CF9AE}" pid="3" name="KSOProductBuildVer">
    <vt:lpwstr>2052-12.1.0.25225</vt:lpwstr>
  </property>
  <property fmtid="{D5CDD505-2E9C-101B-9397-08002B2CF9AE}" pid="4" name="KSOTemplateUUID">
    <vt:lpwstr>v1.0_mb_rWVcPKXlCqbCsRSGTaMv9w==</vt:lpwstr>
  </property>
  <property fmtid="{D5CDD505-2E9C-101B-9397-08002B2CF9AE}" pid="5" name="CalculationRule">
    <vt:i4>0</vt:i4>
  </property>
</Properties>
</file>